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rTRIPLEX_CW_Flux-fixed\data\"/>
    </mc:Choice>
  </mc:AlternateContent>
  <xr:revisionPtr revIDLastSave="0" documentId="13_ncr:1_{CBE3F854-2481-42EF-A547-56C17230D6DC}" xr6:coauthVersionLast="47" xr6:coauthVersionMax="47" xr10:uidLastSave="{00000000-0000-0000-0000-000000000000}"/>
  <bookViews>
    <workbookView xWindow="9105" yWindow="2565" windowWidth="24780" windowHeight="13395" xr2:uid="{07E56541-34C3-4016-B197-48E28C5E8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N5" i="1"/>
  <c r="O5" i="1"/>
  <c r="P5" i="1"/>
  <c r="Q5" i="1"/>
  <c r="R5" i="1"/>
  <c r="S5" i="1"/>
  <c r="N6" i="1"/>
  <c r="O6" i="1"/>
  <c r="P6" i="1"/>
  <c r="Q6" i="1"/>
  <c r="R6" i="1"/>
  <c r="S6" i="1"/>
  <c r="N7" i="1"/>
  <c r="O7" i="1"/>
  <c r="P7" i="1"/>
  <c r="Q7" i="1"/>
  <c r="R7" i="1"/>
  <c r="S7" i="1"/>
  <c r="N8" i="1"/>
  <c r="O8" i="1"/>
  <c r="P8" i="1"/>
  <c r="Q8" i="1"/>
  <c r="R8" i="1"/>
  <c r="S8" i="1"/>
  <c r="N9" i="1"/>
  <c r="N10" i="1"/>
  <c r="O10" i="1"/>
  <c r="P10" i="1"/>
  <c r="Q10" i="1"/>
  <c r="R10" i="1"/>
  <c r="S10" i="1"/>
  <c r="N11" i="1"/>
  <c r="O11" i="1"/>
  <c r="P11" i="1"/>
  <c r="Q11" i="1"/>
  <c r="R11" i="1"/>
  <c r="S11" i="1"/>
  <c r="N12" i="1"/>
  <c r="O12" i="1"/>
  <c r="P12" i="1"/>
  <c r="Q12" i="1"/>
  <c r="R12" i="1"/>
  <c r="S12" i="1"/>
  <c r="O4" i="1"/>
  <c r="P4" i="1"/>
  <c r="Q4" i="1"/>
  <c r="R4" i="1"/>
  <c r="S4" i="1"/>
  <c r="N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I9" i="1"/>
  <c r="O9" i="1" s="1"/>
  <c r="J9" i="1"/>
  <c r="P9" i="1" s="1"/>
  <c r="K9" i="1"/>
  <c r="Q9" i="1" s="1"/>
  <c r="L9" i="1"/>
  <c r="R9" i="1" s="1"/>
  <c r="M9" i="1"/>
  <c r="S9" i="1" s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I4" i="1"/>
  <c r="J4" i="1"/>
  <c r="K4" i="1"/>
  <c r="L4" i="1"/>
  <c r="M4" i="1"/>
  <c r="H4" i="1"/>
</calcChain>
</file>

<file path=xl/sharedStrings.xml><?xml version="1.0" encoding="utf-8"?>
<sst xmlns="http://schemas.openxmlformats.org/spreadsheetml/2006/main" count="35" uniqueCount="28">
  <si>
    <t>4月</t>
  </si>
  <si>
    <t>5月</t>
  </si>
  <si>
    <t>7月</t>
  </si>
  <si>
    <t>8月</t>
  </si>
  <si>
    <t>9月</t>
  </si>
  <si>
    <t>10月</t>
  </si>
  <si>
    <t>11月</t>
  </si>
  <si>
    <t>12月</t>
  </si>
  <si>
    <t>Ta</t>
    <phoneticPr fontId="3" type="noConversion"/>
  </si>
  <si>
    <t>Month</t>
    <phoneticPr fontId="3" type="noConversion"/>
  </si>
  <si>
    <t>RH</t>
    <phoneticPr fontId="3" type="noConversion"/>
  </si>
  <si>
    <t>Rn</t>
    <phoneticPr fontId="3" type="noConversion"/>
  </si>
  <si>
    <t>SIF</t>
    <phoneticPr fontId="3" type="noConversion"/>
  </si>
  <si>
    <t>fix5-1</t>
    <phoneticPr fontId="3" type="noConversion"/>
  </si>
  <si>
    <t>行标签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</si>
  <si>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</si>
  <si>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</si>
  <si>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</si>
  <si>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7月</t>
    <phoneticPr fontId="3" type="noConversion"/>
  </si>
  <si>
    <t>8月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</si>
  <si>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</si>
  <si>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</si>
  <si>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</si>
  <si>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计数</t>
    <phoneticPr fontId="3" type="noConversion"/>
  </si>
  <si>
    <t>Day</t>
    <phoneticPr fontId="3" type="noConversion"/>
  </si>
  <si>
    <t>fix5</t>
    <phoneticPr fontId="3" type="noConversion"/>
  </si>
  <si>
    <t>9月的Rn比10、11都低？</t>
    <phoneticPr fontId="3" type="noConversion"/>
  </si>
  <si>
    <t>VPD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</si>
</sst>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10" fontId="1" fillId="0" borderId="0" xfId="0" applyNumberFormat="1" applyFont="1">
      <alignment vertical="center"/>
    </xf>
    <xf numFmtId="10" fontId="0" fillId="0" borderId="0" xfId="0" applyNumberForma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F6B4-D6C1-41BF-B825-D6220E8DA47F}">
  <dimension ref="A1:T25"/>
  <sheetViews>
    <sheetView tabSelected="1" workbookViewId="0">
      <selection activeCell="E17" sqref="E17"/>
    </sheetView>
  </sheetViews>
  <sheetFormatPr defaultRowHeight="14.25" x14ac:dyDescent="0.2"/>
  <cols>
    <col min="1" max="1" width="7.25" bestFit="1" customWidth="1"/>
    <col min="2" max="2" width="5.25" style="4" bestFit="1" customWidth="1"/>
    <col min="3" max="7" width="8" style="4" customWidth="1"/>
    <col min="8" max="16" width="7" style="4" customWidth="1"/>
    <col min="17" max="19" width="7" customWidth="1"/>
    <col min="20" max="20" width="23" bestFit="1" customWidth="1"/>
  </cols>
  <sheetData>
    <row r="1" spans="1:20" x14ac:dyDescent="0.2">
      <c r="A1" s="3" t="s">
        <v>13</v>
      </c>
      <c r="B1" s="3"/>
      <c r="C1" s="3"/>
      <c r="D1" s="3"/>
      <c r="E1" s="3"/>
      <c r="F1" s="3"/>
      <c r="G1" s="3"/>
    </row>
    <row r="3" spans="1:20" x14ac:dyDescent="0.2">
      <c r="A3" s="1" t="s">
        <v>9</v>
      </c>
      <c r="B3" s="1" t="s">
        <v>23</v>
      </c>
      <c r="C3" s="1" t="s">
        <v>8</v>
      </c>
      <c r="D3" s="1" t="s">
        <v>10</v>
      </c>
      <c r="E3" s="1" t="s">
        <v>27</v>
      </c>
      <c r="F3" s="1" t="s">
        <v>11</v>
      </c>
      <c r="G3" s="1" t="s">
        <v>12</v>
      </c>
    </row>
    <row r="4" spans="1:20" x14ac:dyDescent="0.2">
      <c r="A4" s="1" t="s">
        <v>15</v>
      </c>
      <c r="B4" s="1">
        <v>292</v>
      </c>
      <c r="C4" s="1">
        <v>8.2811780821917829</v>
      </c>
      <c r="D4" s="1">
        <v>61.443939965753415</v>
      </c>
      <c r="E4" s="1">
        <v>4.7640037431506883</v>
      </c>
      <c r="F4" s="1">
        <v>208.69478369863023</v>
      </c>
      <c r="G4" s="1">
        <v>0.10178190068493143</v>
      </c>
      <c r="H4" s="4">
        <f>B17-B4</f>
        <v>76</v>
      </c>
      <c r="I4" s="4">
        <f t="shared" ref="I4:M4" si="0">C17-C4</f>
        <v>0.22408278737344389</v>
      </c>
      <c r="J4" s="4">
        <f t="shared" si="0"/>
        <v>-0.70552215847080646</v>
      </c>
      <c r="K4" s="4">
        <f t="shared" si="0"/>
        <v>0.19370169377865576</v>
      </c>
      <c r="L4" s="4">
        <f t="shared" si="0"/>
        <v>31.133618708434966</v>
      </c>
      <c r="M4" s="4">
        <f t="shared" si="0"/>
        <v>5.8122745357770955E-3</v>
      </c>
      <c r="N4" s="7">
        <f>H4/B4</f>
        <v>0.26027397260273971</v>
      </c>
      <c r="O4" s="7">
        <f t="shared" ref="O4:S4" si="1">I4/C4</f>
        <v>2.7059288563703463E-2</v>
      </c>
      <c r="P4" s="7">
        <f t="shared" si="1"/>
        <v>-1.148237171743932E-2</v>
      </c>
      <c r="Q4" s="5">
        <f t="shared" si="1"/>
        <v>4.0659433581920437E-2</v>
      </c>
      <c r="R4" s="6">
        <f t="shared" si="1"/>
        <v>0.14918254379272877</v>
      </c>
      <c r="S4" s="5">
        <f t="shared" si="1"/>
        <v>5.710518762829106E-2</v>
      </c>
    </row>
    <row r="5" spans="1:20" x14ac:dyDescent="0.2">
      <c r="A5" s="1" t="s">
        <v>0</v>
      </c>
      <c r="B5" s="1">
        <v>341</v>
      </c>
      <c r="C5" s="1">
        <v>14.62151026392962</v>
      </c>
      <c r="D5" s="1">
        <v>67.977846334310783</v>
      </c>
      <c r="E5" s="1">
        <v>6.7034076539589451</v>
      </c>
      <c r="F5" s="1">
        <v>252.97699545454537</v>
      </c>
      <c r="G5" s="1">
        <v>0.15484897947214077</v>
      </c>
      <c r="H5" s="4">
        <f t="shared" ref="H5:H12" si="2">B18-B5</f>
        <v>78</v>
      </c>
      <c r="I5" s="4">
        <f t="shared" ref="I5:I12" si="3">C18-C5</f>
        <v>0.15088830408946485</v>
      </c>
      <c r="J5" s="4">
        <f t="shared" ref="J5:J12" si="4">D18-D5</f>
        <v>8.7830212977593192E-3</v>
      </c>
      <c r="K5" s="4">
        <f t="shared" ref="K5:K12" si="5">E18-E5</f>
        <v>-5.7908915128402683E-2</v>
      </c>
      <c r="L5" s="4">
        <f t="shared" ref="L5:L12" si="6">F18-F5</f>
        <v>25.967165523974813</v>
      </c>
      <c r="M5" s="4">
        <f t="shared" ref="M5:M12" si="7">G18-G5</f>
        <v>1.4861359235993132E-2</v>
      </c>
      <c r="N5" s="7">
        <f t="shared" ref="N5:N12" si="8">H5/B5</f>
        <v>0.22873900293255131</v>
      </c>
      <c r="O5" s="7">
        <f t="shared" ref="O5:O12" si="9">I5/C5</f>
        <v>1.0319611405785977E-2</v>
      </c>
      <c r="P5" s="7">
        <f t="shared" ref="P5:P12" si="10">J5/D5</f>
        <v>1.2920417123197712E-4</v>
      </c>
      <c r="Q5" s="5">
        <f t="shared" ref="Q5:Q12" si="11">K5/E5</f>
        <v>-8.6387279601297159E-3</v>
      </c>
      <c r="R5" s="5">
        <f t="shared" ref="R5:R12" si="12">L5/F5</f>
        <v>0.10264635121196451</v>
      </c>
      <c r="S5" s="5">
        <f t="shared" ref="S5:S12" si="13">M5/G5</f>
        <v>9.597324623419215E-2</v>
      </c>
    </row>
    <row r="6" spans="1:20" x14ac:dyDescent="0.2">
      <c r="A6" s="1" t="s">
        <v>1</v>
      </c>
      <c r="B6" s="1">
        <v>446</v>
      </c>
      <c r="C6" s="1">
        <v>17.235040358744389</v>
      </c>
      <c r="D6" s="1">
        <v>73.188654932735503</v>
      </c>
      <c r="E6" s="1">
        <v>5.5054087219730965</v>
      </c>
      <c r="F6" s="1">
        <v>261.34486917040363</v>
      </c>
      <c r="G6" s="1">
        <v>0.18412436771300436</v>
      </c>
      <c r="H6" s="4">
        <f t="shared" si="2"/>
        <v>155</v>
      </c>
      <c r="I6" s="4">
        <f t="shared" si="3"/>
        <v>0.11134899233714535</v>
      </c>
      <c r="J6" s="4">
        <f t="shared" si="4"/>
        <v>-9.7501074443329117E-3</v>
      </c>
      <c r="K6" s="4">
        <f t="shared" si="5"/>
        <v>7.433242661259154E-2</v>
      </c>
      <c r="L6" s="4">
        <f t="shared" si="6"/>
        <v>14.509586821277082</v>
      </c>
      <c r="M6" s="4">
        <f t="shared" si="7"/>
        <v>1.643524041408595E-2</v>
      </c>
      <c r="N6" s="7">
        <f t="shared" si="8"/>
        <v>0.34753363228699552</v>
      </c>
      <c r="O6" s="7">
        <f t="shared" si="9"/>
        <v>6.4606168607346023E-3</v>
      </c>
      <c r="P6" s="7">
        <f t="shared" si="10"/>
        <v>-1.3321883635235282E-4</v>
      </c>
      <c r="Q6" s="5">
        <f t="shared" si="11"/>
        <v>1.3501709022241562E-2</v>
      </c>
      <c r="R6" s="5">
        <f t="shared" si="12"/>
        <v>5.5518927413173956E-2</v>
      </c>
      <c r="S6" s="5">
        <f t="shared" si="13"/>
        <v>8.9261625814262932E-2</v>
      </c>
    </row>
    <row r="7" spans="1:20" x14ac:dyDescent="0.2">
      <c r="A7" s="1" t="s">
        <v>2</v>
      </c>
      <c r="B7" s="1">
        <v>40</v>
      </c>
      <c r="C7" s="1">
        <v>24.870899250000001</v>
      </c>
      <c r="D7" s="1">
        <v>84.710204000000004</v>
      </c>
      <c r="E7" s="1">
        <v>4.891310250000001</v>
      </c>
      <c r="F7" s="1">
        <v>243.95070799999999</v>
      </c>
      <c r="G7" s="1">
        <v>0.2417105128205129</v>
      </c>
      <c r="H7" s="4">
        <f t="shared" si="2"/>
        <v>22</v>
      </c>
      <c r="I7" s="4">
        <f t="shared" si="3"/>
        <v>-0.22669009338710211</v>
      </c>
      <c r="J7" s="4">
        <f t="shared" si="4"/>
        <v>0.57224049129034427</v>
      </c>
      <c r="K7" s="4">
        <f t="shared" si="5"/>
        <v>-0.21031014483871147</v>
      </c>
      <c r="L7" s="4">
        <f t="shared" si="6"/>
        <v>22.461524629032311</v>
      </c>
      <c r="M7" s="4">
        <f t="shared" si="7"/>
        <v>3.2604046362820355E-2</v>
      </c>
      <c r="N7" s="8">
        <f t="shared" si="8"/>
        <v>0.55000000000000004</v>
      </c>
      <c r="O7" s="7">
        <f t="shared" si="9"/>
        <v>-9.1146721760413264E-3</v>
      </c>
      <c r="P7" s="7">
        <f t="shared" si="10"/>
        <v>6.7552722608287454E-3</v>
      </c>
      <c r="Q7" s="5">
        <f t="shared" si="11"/>
        <v>-4.29966888399098E-2</v>
      </c>
      <c r="R7" s="5">
        <f t="shared" si="12"/>
        <v>9.2074029270832497E-2</v>
      </c>
      <c r="S7" s="6">
        <f t="shared" si="13"/>
        <v>0.13488882209699815</v>
      </c>
    </row>
    <row r="8" spans="1:20" x14ac:dyDescent="0.2">
      <c r="A8" s="1" t="s">
        <v>3</v>
      </c>
      <c r="B8" s="1">
        <v>177</v>
      </c>
      <c r="C8" s="1">
        <v>22.667657683615822</v>
      </c>
      <c r="D8" s="1">
        <v>76.656000960451991</v>
      </c>
      <c r="E8" s="1">
        <v>6.8723825423728817</v>
      </c>
      <c r="F8" s="1">
        <v>251.43803192090394</v>
      </c>
      <c r="G8" s="1">
        <v>0.28330881355932214</v>
      </c>
      <c r="H8" s="4">
        <f t="shared" si="2"/>
        <v>103</v>
      </c>
      <c r="I8" s="4">
        <f t="shared" si="3"/>
        <v>-0.54976322711580394</v>
      </c>
      <c r="J8" s="4">
        <f t="shared" si="4"/>
        <v>1.3106633154765319</v>
      </c>
      <c r="K8" s="4">
        <f t="shared" si="5"/>
        <v>-0.38957782487288384</v>
      </c>
      <c r="L8" s="4">
        <f t="shared" si="6"/>
        <v>46.106032043492576</v>
      </c>
      <c r="M8" s="4">
        <f t="shared" si="7"/>
        <v>4.654841169067786E-2</v>
      </c>
      <c r="N8" s="8">
        <f t="shared" si="8"/>
        <v>0.58192090395480223</v>
      </c>
      <c r="O8" s="7">
        <f t="shared" si="9"/>
        <v>-2.4253199637524644E-2</v>
      </c>
      <c r="P8" s="7">
        <f t="shared" si="10"/>
        <v>1.7097987098919017E-2</v>
      </c>
      <c r="Q8" s="5">
        <f t="shared" si="11"/>
        <v>-5.6687447543973771E-2</v>
      </c>
      <c r="R8" s="6">
        <f t="shared" si="12"/>
        <v>0.18336936417795527</v>
      </c>
      <c r="S8" s="6">
        <f t="shared" si="13"/>
        <v>0.16430273067001169</v>
      </c>
    </row>
    <row r="9" spans="1:20" x14ac:dyDescent="0.2">
      <c r="A9" s="1" t="s">
        <v>4</v>
      </c>
      <c r="B9" s="1">
        <v>295</v>
      </c>
      <c r="C9" s="1">
        <v>21.118746135593209</v>
      </c>
      <c r="D9" s="1">
        <v>81.570462135593246</v>
      </c>
      <c r="E9" s="1">
        <v>5.7529993898305074</v>
      </c>
      <c r="F9" s="1">
        <v>232.30045844067809</v>
      </c>
      <c r="G9" s="1">
        <v>0.24309614576271191</v>
      </c>
      <c r="H9" s="4">
        <f t="shared" si="2"/>
        <v>158</v>
      </c>
      <c r="I9" s="4">
        <f t="shared" si="3"/>
        <v>-0.26908015062630497</v>
      </c>
      <c r="J9" s="4">
        <f t="shared" si="4"/>
        <v>1.1325533194177808</v>
      </c>
      <c r="K9" s="4">
        <f t="shared" si="5"/>
        <v>-0.46558042347289152</v>
      </c>
      <c r="L9" s="4">
        <f t="shared" si="6"/>
        <v>8.3446460341034197</v>
      </c>
      <c r="M9" s="4">
        <f t="shared" si="7"/>
        <v>1.2347913876668754E-2</v>
      </c>
      <c r="N9" s="7">
        <f t="shared" si="8"/>
        <v>0.53559322033898304</v>
      </c>
      <c r="O9" s="7">
        <f t="shared" si="9"/>
        <v>-1.2741293867480201E-2</v>
      </c>
      <c r="P9" s="7">
        <f t="shared" si="10"/>
        <v>1.3884355804373843E-2</v>
      </c>
      <c r="Q9" s="5">
        <f t="shared" si="11"/>
        <v>-8.0928293560380213E-2</v>
      </c>
      <c r="R9" s="5">
        <f t="shared" si="12"/>
        <v>3.5921780310366323E-2</v>
      </c>
      <c r="S9" s="5">
        <f t="shared" si="13"/>
        <v>5.0794363020142869E-2</v>
      </c>
      <c r="T9" t="s">
        <v>26</v>
      </c>
    </row>
    <row r="10" spans="1:20" x14ac:dyDescent="0.2">
      <c r="A10" s="1" t="s">
        <v>5</v>
      </c>
      <c r="B10" s="1">
        <v>192</v>
      </c>
      <c r="C10" s="1">
        <v>15.831494791666669</v>
      </c>
      <c r="D10" s="1">
        <v>58.569665104166653</v>
      </c>
      <c r="E10" s="1">
        <v>7.8742679166666703</v>
      </c>
      <c r="F10" s="1">
        <v>260.8498932291667</v>
      </c>
      <c r="G10" s="1">
        <v>0.21762890625000011</v>
      </c>
      <c r="H10" s="4">
        <f t="shared" si="2"/>
        <v>76</v>
      </c>
      <c r="I10" s="4">
        <f t="shared" si="3"/>
        <v>0.12137461131840688</v>
      </c>
      <c r="J10" s="4">
        <f t="shared" si="4"/>
        <v>-0.58868525342041522</v>
      </c>
      <c r="K10" s="4">
        <f t="shared" si="5"/>
        <v>0.12590312594527564</v>
      </c>
      <c r="L10" s="4">
        <f t="shared" si="6"/>
        <v>24.157159039489841</v>
      </c>
      <c r="M10" s="4">
        <f t="shared" si="7"/>
        <v>2.4564751619402858E-2</v>
      </c>
      <c r="N10" s="7">
        <f t="shared" si="8"/>
        <v>0.39583333333333331</v>
      </c>
      <c r="O10" s="7">
        <f t="shared" si="9"/>
        <v>7.6666551652656107E-3</v>
      </c>
      <c r="P10" s="7">
        <f t="shared" si="10"/>
        <v>-1.0051026454964928E-2</v>
      </c>
      <c r="Q10" s="5">
        <f t="shared" si="11"/>
        <v>1.5989184934740303E-2</v>
      </c>
      <c r="R10" s="5">
        <f t="shared" si="12"/>
        <v>9.2609426595650718E-2</v>
      </c>
      <c r="S10" s="6">
        <f t="shared" si="13"/>
        <v>0.11287448915992908</v>
      </c>
    </row>
    <row r="11" spans="1:20" x14ac:dyDescent="0.2">
      <c r="A11" s="1" t="s">
        <v>6</v>
      </c>
      <c r="B11" s="1">
        <v>178</v>
      </c>
      <c r="C11" s="1">
        <v>9.9659411797752853</v>
      </c>
      <c r="D11" s="1">
        <v>42.276480168539337</v>
      </c>
      <c r="E11" s="1">
        <v>7.2819957865168536</v>
      </c>
      <c r="F11" s="1">
        <v>227.65743494382022</v>
      </c>
      <c r="G11" s="1">
        <v>0.19971723163841812</v>
      </c>
      <c r="H11" s="4">
        <f t="shared" si="2"/>
        <v>98</v>
      </c>
      <c r="I11" s="4">
        <f t="shared" si="3"/>
        <v>-3.3214611771660074E-2</v>
      </c>
      <c r="J11" s="4">
        <f t="shared" si="4"/>
        <v>2.1409233399027201</v>
      </c>
      <c r="K11" s="4">
        <f t="shared" si="5"/>
        <v>-0.12078600336468348</v>
      </c>
      <c r="L11" s="4">
        <f t="shared" si="6"/>
        <v>21.059821665346277</v>
      </c>
      <c r="M11" s="4">
        <f t="shared" si="7"/>
        <v>1.4225490012490988E-2</v>
      </c>
      <c r="N11" s="8">
        <f t="shared" si="8"/>
        <v>0.550561797752809</v>
      </c>
      <c r="O11" s="7">
        <f t="shared" si="9"/>
        <v>-3.3328123428086505E-3</v>
      </c>
      <c r="P11" s="7">
        <f t="shared" si="10"/>
        <v>5.064100254722529E-2</v>
      </c>
      <c r="Q11" s="5">
        <f t="shared" si="11"/>
        <v>-1.6586936728022774E-2</v>
      </c>
      <c r="R11" s="5">
        <f t="shared" si="12"/>
        <v>9.2506628085936571E-2</v>
      </c>
      <c r="S11" s="5">
        <f t="shared" si="13"/>
        <v>7.1228155406468874E-2</v>
      </c>
    </row>
    <row r="12" spans="1:20" x14ac:dyDescent="0.2">
      <c r="A12" s="1" t="s">
        <v>7</v>
      </c>
      <c r="B12" s="1">
        <v>232</v>
      </c>
      <c r="C12" s="1">
        <v>7.7148275862068969</v>
      </c>
      <c r="D12" s="1">
        <v>45.727527801724129</v>
      </c>
      <c r="E12" s="1">
        <v>5.7885678448275844</v>
      </c>
      <c r="F12" s="1">
        <v>201.72486189655172</v>
      </c>
      <c r="G12" s="1">
        <v>0.13420134051724136</v>
      </c>
      <c r="H12" s="4">
        <f t="shared" si="2"/>
        <v>85</v>
      </c>
      <c r="I12" s="4">
        <f t="shared" si="3"/>
        <v>-0.24892790740563786</v>
      </c>
      <c r="J12" s="4">
        <f t="shared" si="4"/>
        <v>0.90449479745566208</v>
      </c>
      <c r="K12" s="4">
        <f t="shared" si="5"/>
        <v>-8.141315239856084E-2</v>
      </c>
      <c r="L12" s="4">
        <f t="shared" si="6"/>
        <v>0.91356822363755441</v>
      </c>
      <c r="M12" s="4">
        <f t="shared" si="7"/>
        <v>1.339021476429586E-3</v>
      </c>
      <c r="N12" s="7">
        <f t="shared" si="8"/>
        <v>0.36637931034482757</v>
      </c>
      <c r="O12" s="7">
        <f t="shared" si="9"/>
        <v>-3.2266165980259678E-2</v>
      </c>
      <c r="P12" s="7">
        <f t="shared" si="10"/>
        <v>1.9780093981410441E-2</v>
      </c>
      <c r="Q12" s="5">
        <f t="shared" si="11"/>
        <v>-1.4064472349807238E-2</v>
      </c>
      <c r="R12" s="5">
        <f t="shared" si="12"/>
        <v>4.5287834878085043E-3</v>
      </c>
      <c r="S12" s="5">
        <f t="shared" si="13"/>
        <v>9.9777056717071828E-3</v>
      </c>
    </row>
    <row r="14" spans="1:20" x14ac:dyDescent="0.2">
      <c r="A14" s="3" t="s">
        <v>25</v>
      </c>
      <c r="B14" s="3"/>
      <c r="C14" s="3"/>
      <c r="D14" s="3"/>
      <c r="E14" s="3"/>
      <c r="F14" s="3"/>
      <c r="G14" s="3"/>
    </row>
    <row r="15" spans="1:20" x14ac:dyDescent="0.2">
      <c r="A15" s="2"/>
    </row>
    <row r="16" spans="1:20" x14ac:dyDescent="0.2">
      <c r="A16" s="1" t="s">
        <v>14</v>
      </c>
      <c r="B16" s="1" t="s">
        <v>24</v>
      </c>
      <c r="C16" s="1" t="s">
        <v>8</v>
      </c>
      <c r="D16" s="1" t="s">
        <v>10</v>
      </c>
      <c r="E16" s="1" t="s">
        <v>27</v>
      </c>
      <c r="F16" s="1" t="s">
        <v>11</v>
      </c>
      <c r="G16" s="1" t="s">
        <v>12</v>
      </c>
    </row>
    <row r="17" spans="1:7" x14ac:dyDescent="0.2">
      <c r="A17" s="1" t="s">
        <v>15</v>
      </c>
      <c r="B17" s="1">
        <v>368</v>
      </c>
      <c r="C17" s="1">
        <v>8.5052608695652268</v>
      </c>
      <c r="D17" s="1">
        <v>60.738417807282609</v>
      </c>
      <c r="E17" s="1">
        <v>4.9577054369293441</v>
      </c>
      <c r="F17" s="1">
        <v>239.8284024070652</v>
      </c>
      <c r="G17" s="1">
        <v>0.10759417522070852</v>
      </c>
    </row>
    <row r="18" spans="1:7" x14ac:dyDescent="0.2">
      <c r="A18" s="1" t="s">
        <v>16</v>
      </c>
      <c r="B18" s="1">
        <v>419</v>
      </c>
      <c r="C18" s="1">
        <v>14.772398568019085</v>
      </c>
      <c r="D18" s="1">
        <v>67.986629355608542</v>
      </c>
      <c r="E18" s="1">
        <v>6.6454987388305424</v>
      </c>
      <c r="F18" s="1">
        <v>278.94416097852019</v>
      </c>
      <c r="G18" s="1">
        <v>0.1697103387081339</v>
      </c>
    </row>
    <row r="19" spans="1:7" x14ac:dyDescent="0.2">
      <c r="A19" s="1" t="s">
        <v>17</v>
      </c>
      <c r="B19" s="1">
        <v>601</v>
      </c>
      <c r="C19" s="1">
        <v>17.346389351081534</v>
      </c>
      <c r="D19" s="1">
        <v>73.17890482529117</v>
      </c>
      <c r="E19" s="1">
        <v>5.579741148585688</v>
      </c>
      <c r="F19" s="1">
        <v>275.85445599168071</v>
      </c>
      <c r="G19" s="1">
        <v>0.20055960812709031</v>
      </c>
    </row>
    <row r="20" spans="1:7" x14ac:dyDescent="0.2">
      <c r="A20" s="1" t="s">
        <v>18</v>
      </c>
      <c r="B20" s="1">
        <v>62</v>
      </c>
      <c r="C20" s="1">
        <v>24.644209156612899</v>
      </c>
      <c r="D20" s="1">
        <v>85.282444491290349</v>
      </c>
      <c r="E20" s="1">
        <v>4.6810001051612895</v>
      </c>
      <c r="F20" s="1">
        <v>266.4122326290323</v>
      </c>
      <c r="G20" s="1">
        <v>0.27431455918333325</v>
      </c>
    </row>
    <row r="21" spans="1:7" x14ac:dyDescent="0.2">
      <c r="A21" s="1" t="s">
        <v>19</v>
      </c>
      <c r="B21" s="1">
        <v>280</v>
      </c>
      <c r="C21" s="1">
        <v>22.117894456500018</v>
      </c>
      <c r="D21" s="1">
        <v>77.966664275928522</v>
      </c>
      <c r="E21" s="1">
        <v>6.4828047174999979</v>
      </c>
      <c r="F21" s="1">
        <v>297.54406396439651</v>
      </c>
      <c r="G21" s="1">
        <v>0.32985722525</v>
      </c>
    </row>
    <row r="22" spans="1:7" x14ac:dyDescent="0.2">
      <c r="A22" s="1" t="s">
        <v>4</v>
      </c>
      <c r="B22" s="1">
        <v>453</v>
      </c>
      <c r="C22" s="1">
        <v>20.849665984966904</v>
      </c>
      <c r="D22" s="1">
        <v>82.703015455011027</v>
      </c>
      <c r="E22" s="1">
        <v>5.2874189663576159</v>
      </c>
      <c r="F22" s="1">
        <v>240.6451044747815</v>
      </c>
      <c r="G22" s="1">
        <v>0.25544405963938066</v>
      </c>
    </row>
    <row r="23" spans="1:7" x14ac:dyDescent="0.2">
      <c r="A23" s="1" t="s">
        <v>20</v>
      </c>
      <c r="B23" s="1">
        <v>268</v>
      </c>
      <c r="C23" s="1">
        <v>15.952869402985076</v>
      </c>
      <c r="D23" s="1">
        <v>57.980979850746238</v>
      </c>
      <c r="E23" s="1">
        <v>8.0001710426119459</v>
      </c>
      <c r="F23" s="1">
        <v>285.00705226865654</v>
      </c>
      <c r="G23" s="1">
        <v>0.24219365786940297</v>
      </c>
    </row>
    <row r="24" spans="1:7" x14ac:dyDescent="0.2">
      <c r="A24" s="1" t="s">
        <v>21</v>
      </c>
      <c r="B24" s="1">
        <v>276</v>
      </c>
      <c r="C24" s="1">
        <v>9.9327265680036252</v>
      </c>
      <c r="D24" s="1">
        <v>44.417403508442057</v>
      </c>
      <c r="E24" s="1">
        <v>7.1612097831521702</v>
      </c>
      <c r="F24" s="1">
        <v>248.7172566091665</v>
      </c>
      <c r="G24" s="1">
        <v>0.21394272165090911</v>
      </c>
    </row>
    <row r="25" spans="1:7" x14ac:dyDescent="0.2">
      <c r="A25" s="1" t="s">
        <v>22</v>
      </c>
      <c r="B25" s="1">
        <v>317</v>
      </c>
      <c r="C25" s="1">
        <v>7.465899678801259</v>
      </c>
      <c r="D25" s="1">
        <v>46.632022599179791</v>
      </c>
      <c r="E25" s="1">
        <v>5.7071546924290235</v>
      </c>
      <c r="F25" s="1">
        <v>202.63843012018927</v>
      </c>
      <c r="G25" s="1">
        <v>0.13554036199367095</v>
      </c>
    </row>
  </sheetData>
  <mergeCells count="2">
    <mergeCell ref="A1:G1"/>
    <mergeCell ref="A14:G14"/>
  </mergeCells>
  <phoneticPr fontId="3" type="noConversion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DA2C2AF-5C9F-4C0D-BEB1-DFD3E5CF473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Sheet1!C17:C25</xm:f>
              <xm:sqref>C15</xm:sqref>
            </x14:sparkline>
            <x14:sparkline>
              <xm:f>Sheet1!D17:D25</xm:f>
              <xm:sqref>D15</xm:sqref>
            </x14:sparkline>
            <x14:sparkline>
              <xm:f>Sheet1!E17:E25</xm:f>
              <xm:sqref>E15</xm:sqref>
            </x14:sparkline>
            <x14:sparkline>
              <xm:f>Sheet1!F17:F25</xm:f>
              <xm:sqref>F15</xm:sqref>
            </x14:sparkline>
            <x14:sparkline>
              <xm:f>Sheet1!G17:G25</xm:f>
              <xm:sqref>G15</xm:sqref>
            </x14:sparkline>
          </x14:sparklines>
        </x14:sparklineGroup>
        <x14:sparklineGroup displayEmptyCellsAs="gap" xr2:uid="{5CA05FFC-FAA9-4F54-B8EF-FC1EEC4988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Sheet1!C5:C12</xm:f>
              <xm:sqref>C2</xm:sqref>
            </x14:sparkline>
            <x14:sparkline>
              <xm:f>Sheet1!D5:D12</xm:f>
              <xm:sqref>D2</xm:sqref>
            </x14:sparkline>
            <x14:sparkline>
              <xm:f>Sheet1!E5:E12</xm:f>
              <xm:sqref>E2</xm:sqref>
            </x14:sparkline>
            <x14:sparkline>
              <xm:f>Sheet1!F5:F12</xm:f>
              <xm:sqref>F2</xm:sqref>
            </x14:sparkline>
            <x14:sparkline>
              <xm:f>Sheet1!G5:G12</xm:f>
              <xm:sqref>G2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见 秦</dc:creator>
  <cp:lastModifiedBy>见 秦</cp:lastModifiedBy>
  <dcterms:created xsi:type="dcterms:W3CDTF">2025-03-26T02:29:18Z</dcterms:created>
  <dcterms:modified xsi:type="dcterms:W3CDTF">2025-03-27T02:13:38Z</dcterms:modified>
</cp:coreProperties>
</file>